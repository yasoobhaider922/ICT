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za Batool\Downloads\"/>
    </mc:Choice>
  </mc:AlternateContent>
  <xr:revisionPtr revIDLastSave="0" documentId="8_{1CDBA81B-235C-4EEB-A07A-56E7E6190809}" xr6:coauthVersionLast="47" xr6:coauthVersionMax="47" xr10:uidLastSave="{00000000-0000-0000-0000-000000000000}"/>
  <bookViews>
    <workbookView xWindow="-110" yWindow="-110" windowWidth="19420" windowHeight="10300" xr2:uid="{5CD5E895-D436-4ADC-84D2-7C715DF32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3" i="1"/>
  <c r="K2" i="1"/>
  <c r="I5" i="1"/>
  <c r="I2" i="1"/>
  <c r="H2" i="1"/>
  <c r="H8" i="1"/>
  <c r="H10" i="1"/>
  <c r="H4" i="1"/>
  <c r="H7" i="1"/>
  <c r="H3" i="1"/>
  <c r="H9" i="1"/>
  <c r="H11" i="1"/>
  <c r="H6" i="1"/>
  <c r="H5" i="1"/>
  <c r="G2" i="1"/>
  <c r="G8" i="1"/>
  <c r="G10" i="1"/>
  <c r="G4" i="1"/>
  <c r="G7" i="1"/>
  <c r="G3" i="1"/>
  <c r="G9" i="1"/>
  <c r="G11" i="1"/>
  <c r="G6" i="1"/>
  <c r="G5" i="1"/>
</calcChain>
</file>

<file path=xl/sharedStrings.xml><?xml version="1.0" encoding="utf-8"?>
<sst xmlns="http://schemas.openxmlformats.org/spreadsheetml/2006/main" count="41" uniqueCount="25">
  <si>
    <t>Student Name</t>
  </si>
  <si>
    <t>Roll No</t>
  </si>
  <si>
    <t>Gender</t>
  </si>
  <si>
    <t>Subject 1</t>
  </si>
  <si>
    <t>Subject 2</t>
  </si>
  <si>
    <t>Subject 3</t>
  </si>
  <si>
    <t>Average</t>
  </si>
  <si>
    <t>Grade</t>
  </si>
  <si>
    <t>Ayesha Khan</t>
  </si>
  <si>
    <t>F</t>
  </si>
  <si>
    <t>Bilal Ahmed</t>
  </si>
  <si>
    <t>M</t>
  </si>
  <si>
    <t>Fatima Noor</t>
  </si>
  <si>
    <t>Hamza Tariq</t>
  </si>
  <si>
    <t>Sara Malik</t>
  </si>
  <si>
    <t>Ali Raza</t>
  </si>
  <si>
    <t>Maryam Zafar</t>
  </si>
  <si>
    <t>Ahmed Farooq</t>
  </si>
  <si>
    <t>Hira Iqbal</t>
  </si>
  <si>
    <t>Usman Khalid</t>
  </si>
  <si>
    <t xml:space="preserve">Total </t>
  </si>
  <si>
    <t>B</t>
  </si>
  <si>
    <t>C</t>
  </si>
  <si>
    <t>A</t>
  </si>
  <si>
    <t>Grade |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</si>
</sst>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3" borderId="0" xfId="0" applyFont="1" applyFill="1"/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Marks of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7987751531059"/>
          <c:y val="0.19486111111111112"/>
          <c:w val="0.89030796150481195"/>
          <c:h val="0.6704013560804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Bilal Ahmed</c:v>
                </c:pt>
                <c:pt idx="1">
                  <c:v>Maryam Zafar</c:v>
                </c:pt>
                <c:pt idx="2">
                  <c:v>Sara Malik</c:v>
                </c:pt>
                <c:pt idx="3">
                  <c:v>Ayesha Khan</c:v>
                </c:pt>
                <c:pt idx="4">
                  <c:v>Usman Khalid</c:v>
                </c:pt>
                <c:pt idx="5">
                  <c:v>Ali Raza</c:v>
                </c:pt>
                <c:pt idx="6">
                  <c:v>Fatima Noor</c:v>
                </c:pt>
                <c:pt idx="7">
                  <c:v>Ahmed Farooq</c:v>
                </c:pt>
                <c:pt idx="8">
                  <c:v>Hamza Tariq</c:v>
                </c:pt>
                <c:pt idx="9">
                  <c:v>Hira Iqbal</c:v>
                </c:pt>
              </c:strCache>
            </c: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270</c:v>
                </c:pt>
                <c:pt idx="1">
                  <c:v>263</c:v>
                </c:pt>
                <c:pt idx="2">
                  <c:v>245</c:v>
                </c:pt>
                <c:pt idx="3">
                  <c:v>234</c:v>
                </c:pt>
                <c:pt idx="4">
                  <c:v>231</c:v>
                </c:pt>
                <c:pt idx="5">
                  <c:v>217</c:v>
                </c:pt>
                <c:pt idx="6">
                  <c:v>203</c:v>
                </c:pt>
                <c:pt idx="7">
                  <c:v>184</c:v>
                </c:pt>
                <c:pt idx="8">
                  <c:v>173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0-4FF9-89E5-AFFA55042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925632"/>
        <c:axId val="649923712"/>
      </c:barChart>
      <c:catAx>
        <c:axId val="6499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23712"/>
        <c:crosses val="autoZero"/>
        <c:auto val="1"/>
        <c:lblAlgn val="ctr"/>
        <c:lblOffset val="100"/>
        <c:noMultiLvlLbl val="0"/>
      </c:catAx>
      <c:valAx>
        <c:axId val="6499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2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269711</xdr:colOff>
      <xdr:row>1</xdr:row>
      <xdr:rowOff>65861</xdr:rowOff>
    </xdr:from>
    <xdr:to>
      <xdr:col>19</xdr:col>
      <xdr:colOff>574511</xdr:colOff>
      <xdr:row>9</xdr:row>
      <xdr:rowOff>46811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EA364-64E5-0597-87E4-19EB44F64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1F45-E8E7-4A66-92FA-71DAAF0CC97A}">
  <dimension ref="A1:K11"/>
  <sheetViews>
    <sheetView tabSelected="1" topLeftCell="A2" zoomScale="84" workbookViewId="0">
      <selection activeCell="J10" sqref="J10:J13"/>
    </sheetView>
  </sheetViews>
  <sheetFormatPr defaultRowHeight="14.5" x14ac:dyDescent="0.35"/>
  <sheetData>
    <row r="1" spans="1:11" ht="27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7" t="s">
        <v>24</v>
      </c>
      <c r="K1" s="8"/>
    </row>
    <row r="2" spans="1:11" ht="29" x14ac:dyDescent="0.35">
      <c r="A2" s="2" t="s">
        <v>10</v>
      </c>
      <c r="B2" s="2">
        <v>102</v>
      </c>
      <c r="C2" s="2" t="s">
        <v>11</v>
      </c>
      <c r="D2" s="2">
        <v>92</v>
      </c>
      <c r="E2" s="2">
        <v>88</v>
      </c>
      <c r="F2" s="2">
        <v>90</v>
      </c>
      <c r="G2" s="2">
        <f>SUM(D2:F2)</f>
        <v>270</v>
      </c>
      <c r="H2" s="2">
        <f>AVERAGE(D2:F2)</f>
        <v>90</v>
      </c>
      <c r="I2" s="5" t="str">
        <f>IF(G1&gt;=80,"A",IF(G1&gt;=60,"B","C"))</f>
        <v>A</v>
      </c>
      <c r="J2" s="9" t="s">
        <v>23</v>
      </c>
      <c r="K2" s="9">
        <f>COUNTIF(I2:I11,"A")</f>
        <v>4</v>
      </c>
    </row>
    <row r="3" spans="1:11" ht="29" x14ac:dyDescent="0.4">
      <c r="A3" s="2" t="s">
        <v>16</v>
      </c>
      <c r="B3" s="2">
        <v>107</v>
      </c>
      <c r="C3" s="2" t="s">
        <v>9</v>
      </c>
      <c r="D3" s="2">
        <v>88</v>
      </c>
      <c r="E3" s="2">
        <v>90</v>
      </c>
      <c r="F3" s="2">
        <v>85</v>
      </c>
      <c r="G3" s="2">
        <f>SUM(D3:F3)</f>
        <v>263</v>
      </c>
      <c r="H3" s="2">
        <f>AVERAGE(D3:F3)</f>
        <v>87.666666666666671</v>
      </c>
      <c r="I3" s="5" t="s">
        <v>23</v>
      </c>
      <c r="J3" s="9" t="s">
        <v>22</v>
      </c>
      <c r="K3" s="10">
        <f>COUNTIF(I2:I11,"B")</f>
        <v>4</v>
      </c>
    </row>
    <row r="4" spans="1:11" ht="29" x14ac:dyDescent="0.4">
      <c r="A4" s="2" t="s">
        <v>14</v>
      </c>
      <c r="B4" s="2">
        <v>105</v>
      </c>
      <c r="C4" s="2" t="s">
        <v>9</v>
      </c>
      <c r="D4" s="2">
        <v>81</v>
      </c>
      <c r="E4" s="2">
        <v>79</v>
      </c>
      <c r="F4" s="2">
        <v>85</v>
      </c>
      <c r="G4" s="2">
        <f>SUM(D4:F4)</f>
        <v>245</v>
      </c>
      <c r="H4" s="2">
        <f>AVERAGE(D4:F4)</f>
        <v>81.666666666666671</v>
      </c>
      <c r="I4" s="5" t="s">
        <v>23</v>
      </c>
      <c r="J4" s="9" t="s">
        <v>21</v>
      </c>
      <c r="K4" s="10">
        <f>COUNTIF(I2:I11,"C")</f>
        <v>2</v>
      </c>
    </row>
    <row r="5" spans="1:11" ht="29" x14ac:dyDescent="0.35">
      <c r="A5" s="2" t="s">
        <v>8</v>
      </c>
      <c r="B5" s="2">
        <v>101</v>
      </c>
      <c r="C5" s="2" t="s">
        <v>9</v>
      </c>
      <c r="D5" s="2">
        <v>78</v>
      </c>
      <c r="E5" s="2">
        <v>78</v>
      </c>
      <c r="F5" s="2">
        <v>78</v>
      </c>
      <c r="G5" s="2">
        <f>SUM(D5:F5)</f>
        <v>234</v>
      </c>
      <c r="H5" s="2">
        <f>AVERAGE(D5:F5)</f>
        <v>78</v>
      </c>
      <c r="I5" s="6" t="str">
        <f>IF(G5&gt;=80,"A",IF(G5&gt;=60,"B","C"))</f>
        <v>A</v>
      </c>
    </row>
    <row r="6" spans="1:11" ht="29" x14ac:dyDescent="0.35">
      <c r="A6" s="2" t="s">
        <v>19</v>
      </c>
      <c r="B6" s="2">
        <v>110</v>
      </c>
      <c r="C6" s="2" t="s">
        <v>11</v>
      </c>
      <c r="D6" s="2">
        <v>77</v>
      </c>
      <c r="E6" s="2">
        <v>80</v>
      </c>
      <c r="F6" s="2">
        <v>74</v>
      </c>
      <c r="G6" s="2">
        <f>SUM(D6:F6)</f>
        <v>231</v>
      </c>
      <c r="H6" s="2">
        <f>AVERAGE(D6:F6)</f>
        <v>77</v>
      </c>
      <c r="I6" s="3" t="s">
        <v>21</v>
      </c>
    </row>
    <row r="7" spans="1:11" x14ac:dyDescent="0.35">
      <c r="A7" s="2" t="s">
        <v>15</v>
      </c>
      <c r="B7" s="2">
        <v>106</v>
      </c>
      <c r="C7" s="2" t="s">
        <v>11</v>
      </c>
      <c r="D7" s="2">
        <v>73</v>
      </c>
      <c r="E7" s="2">
        <v>69</v>
      </c>
      <c r="F7" s="2">
        <v>75</v>
      </c>
      <c r="G7" s="2">
        <f>SUM(D7:F7)</f>
        <v>217</v>
      </c>
      <c r="H7" s="2">
        <f>AVERAGE(D7:F7)</f>
        <v>72.333333333333329</v>
      </c>
      <c r="I7" s="3" t="s">
        <v>21</v>
      </c>
    </row>
    <row r="8" spans="1:11" ht="29" x14ac:dyDescent="0.35">
      <c r="A8" s="2" t="s">
        <v>12</v>
      </c>
      <c r="B8" s="2">
        <v>103</v>
      </c>
      <c r="C8" s="2" t="s">
        <v>9</v>
      </c>
      <c r="D8" s="2">
        <v>65</v>
      </c>
      <c r="E8" s="2">
        <v>70</v>
      </c>
      <c r="F8" s="2">
        <v>68</v>
      </c>
      <c r="G8" s="2">
        <f>SUM(D8:F8)</f>
        <v>203</v>
      </c>
      <c r="H8" s="2">
        <f>AVERAGE(D8:F8)</f>
        <v>67.666666666666671</v>
      </c>
      <c r="I8" s="3" t="s">
        <v>21</v>
      </c>
    </row>
    <row r="9" spans="1:11" ht="29" x14ac:dyDescent="0.35">
      <c r="A9" s="2" t="s">
        <v>17</v>
      </c>
      <c r="B9" s="2">
        <v>108</v>
      </c>
      <c r="C9" s="2" t="s">
        <v>11</v>
      </c>
      <c r="D9" s="2">
        <v>61</v>
      </c>
      <c r="E9" s="2">
        <v>64</v>
      </c>
      <c r="F9" s="2">
        <v>59</v>
      </c>
      <c r="G9" s="2">
        <f>SUM(D9:F9)</f>
        <v>184</v>
      </c>
      <c r="H9" s="2">
        <f>AVERAGE(D9:F9)</f>
        <v>61.333333333333336</v>
      </c>
      <c r="I9" s="3" t="s">
        <v>21</v>
      </c>
    </row>
    <row r="10" spans="1:11" ht="29" x14ac:dyDescent="0.35">
      <c r="A10" s="2" t="s">
        <v>13</v>
      </c>
      <c r="B10" s="2">
        <v>104</v>
      </c>
      <c r="C10" s="2" t="s">
        <v>11</v>
      </c>
      <c r="D10" s="2">
        <v>55</v>
      </c>
      <c r="E10" s="2">
        <v>58</v>
      </c>
      <c r="F10" s="2">
        <v>60</v>
      </c>
      <c r="G10" s="2">
        <f>SUM(D10:F10)</f>
        <v>173</v>
      </c>
      <c r="H10" s="2">
        <f>AVERAGE(D10:F10)</f>
        <v>57.666666666666664</v>
      </c>
      <c r="I10" s="4" t="s">
        <v>22</v>
      </c>
    </row>
    <row r="11" spans="1:11" x14ac:dyDescent="0.35">
      <c r="A11" s="2" t="s">
        <v>18</v>
      </c>
      <c r="B11" s="2">
        <v>109</v>
      </c>
      <c r="C11" s="2" t="s">
        <v>9</v>
      </c>
      <c r="D11" s="2">
        <v>49</v>
      </c>
      <c r="E11" s="2">
        <v>55</v>
      </c>
      <c r="F11" s="2">
        <v>53</v>
      </c>
      <c r="G11" s="2">
        <f>SUM(D11:F11)</f>
        <v>157</v>
      </c>
      <c r="H11" s="2">
        <f>AVERAGE(D11:F11)</f>
        <v>52.333333333333336</v>
      </c>
      <c r="I11" s="4" t="s">
        <v>22</v>
      </c>
    </row>
  </sheetData>
  <sortState xmlns:xlrd2="http://schemas.microsoft.com/office/spreadsheetml/2017/richdata2" ref="A2:I11">
    <sortCondition descending="1" ref="H2:H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ramza batool</dc:creator>
  <cp:lastModifiedBy>ramza batool</cp:lastModifiedBy>
  <dcterms:created xsi:type="dcterms:W3CDTF">2025-10-14T04:39:35Z</dcterms:created>
  <dcterms:modified xsi:type="dcterms:W3CDTF">2025-10-14T05:44:05Z</dcterms:modified>
</cp:coreProperties>
</file>